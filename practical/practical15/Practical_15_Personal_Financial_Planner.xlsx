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Category-wise Spending</a:t>
            </a:r>
          </a:p>
        </rich>
      </tx>
    </title>
    <plotArea>
      <pieChart>
        <varyColors val="1"/>
        <ser>
          <idx val="0"/>
          <order val="0"/>
          <tx>
            <strRef>
              <f>'Budget'!C1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'Budget'!$A$2:$A$6</f>
            </numRef>
          </cat>
          <val>
            <numRef>
              <f>'Budget'!$C$2:$C$6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'Budget'!$A$2:$A$6</f>
            </numRef>
          </cat>
          <val>
            <numRef>
              <f>'Budget'!$B$2:$B$6</f>
            </numRef>
          </val>
        </ser>
        <ser>
          <idx val="1"/>
          <order val="1"/>
          <tx>
            <strRef>
              <f>'Budget'!C1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'Budget'!$A$2:$A$6</f>
            </numRef>
          </cat>
          <val>
            <numRef>
              <f>'Budget'!$C$2:$C$6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Expense Detail</t>
        </is>
      </c>
      <c r="D1" s="1" t="inlineStr">
        <is>
          <t>Amount</t>
        </is>
      </c>
      <c r="E1" s="1" t="inlineStr">
        <is>
          <t>Payment Method</t>
        </is>
      </c>
    </row>
    <row r="2">
      <c r="A2" s="2" t="n">
        <v>45658</v>
      </c>
      <c r="B2" t="inlineStr">
        <is>
          <t>Food</t>
        </is>
      </c>
      <c r="C2" t="inlineStr">
        <is>
          <t>Lunch</t>
        </is>
      </c>
      <c r="D2" t="n">
        <v>150</v>
      </c>
      <c r="E2" t="inlineStr">
        <is>
          <t>Cash</t>
        </is>
      </c>
    </row>
    <row r="3">
      <c r="A3" s="2" t="n">
        <v>45659</v>
      </c>
      <c r="B3" t="inlineStr">
        <is>
          <t>Travel</t>
        </is>
      </c>
      <c r="C3" t="inlineStr">
        <is>
          <t>Bus Fare</t>
        </is>
      </c>
      <c r="D3" t="n">
        <v>60</v>
      </c>
      <c r="E3" t="inlineStr">
        <is>
          <t>UPI</t>
        </is>
      </c>
    </row>
    <row r="4">
      <c r="A4" s="2" t="n">
        <v>45660</v>
      </c>
      <c r="B4" t="inlineStr">
        <is>
          <t>Fees</t>
        </is>
      </c>
      <c r="C4" t="inlineStr">
        <is>
          <t>College Fees</t>
        </is>
      </c>
      <c r="D4" s="3" t="n">
        <v>2500</v>
      </c>
      <c r="E4" t="inlineStr">
        <is>
          <t>Online</t>
        </is>
      </c>
    </row>
    <row r="5">
      <c r="A5" s="2" t="n">
        <v>45661</v>
      </c>
      <c r="B5" t="inlineStr">
        <is>
          <t>Shopping</t>
        </is>
      </c>
      <c r="C5" t="inlineStr">
        <is>
          <t>Clothes</t>
        </is>
      </c>
      <c r="D5" t="n">
        <v>1800</v>
      </c>
      <c r="E5" t="inlineStr">
        <is>
          <t>Card</t>
        </is>
      </c>
    </row>
    <row r="6">
      <c r="A6" s="2" t="n">
        <v>45662</v>
      </c>
      <c r="B6" t="inlineStr">
        <is>
          <t>Food</t>
        </is>
      </c>
      <c r="C6" t="inlineStr">
        <is>
          <t>Dinner</t>
        </is>
      </c>
      <c r="D6" t="n">
        <v>220</v>
      </c>
      <c r="E6" t="inlineStr">
        <is>
          <t>Cash</t>
        </is>
      </c>
    </row>
    <row r="7">
      <c r="A7" s="2" t="n">
        <v>45663</v>
      </c>
      <c r="B7" t="inlineStr">
        <is>
          <t>Other</t>
        </is>
      </c>
      <c r="C7" t="inlineStr">
        <is>
          <t>Recharge</t>
        </is>
      </c>
      <c r="D7" t="n">
        <v>299</v>
      </c>
      <c r="E7" t="inlineStr">
        <is>
          <t>UPI</t>
        </is>
      </c>
    </row>
    <row r="8">
      <c r="A8" s="2" t="n">
        <v>45664</v>
      </c>
      <c r="B8" t="inlineStr">
        <is>
          <t>Travel</t>
        </is>
      </c>
      <c r="C8" t="inlineStr">
        <is>
          <t>Auto</t>
        </is>
      </c>
      <c r="D8" t="n">
        <v>120</v>
      </c>
      <c r="E8" t="inlineStr">
        <is>
          <t>Cash</t>
        </is>
      </c>
    </row>
    <row r="9">
      <c r="A9" s="2" t="n">
        <v>45665</v>
      </c>
      <c r="B9" t="inlineStr">
        <is>
          <t>Food</t>
        </is>
      </c>
      <c r="C9" t="inlineStr">
        <is>
          <t>Snacks</t>
        </is>
      </c>
      <c r="D9" t="n">
        <v>90</v>
      </c>
      <c r="E9" t="inlineStr">
        <is>
          <t>Cash</t>
        </is>
      </c>
    </row>
    <row r="10">
      <c r="A10" s="2" t="n">
        <v>45666</v>
      </c>
      <c r="B10" t="inlineStr">
        <is>
          <t>Shopping</t>
        </is>
      </c>
      <c r="C10" t="inlineStr">
        <is>
          <t>Shoes</t>
        </is>
      </c>
      <c r="D10" s="3" t="n">
        <v>2600</v>
      </c>
      <c r="E10" t="inlineStr">
        <is>
          <t>Card</t>
        </is>
      </c>
    </row>
    <row r="11">
      <c r="A11" s="2" t="n">
        <v>45667</v>
      </c>
      <c r="B11" t="inlineStr">
        <is>
          <t>Fees</t>
        </is>
      </c>
      <c r="C11" t="inlineStr">
        <is>
          <t>Exam Fees</t>
        </is>
      </c>
      <c r="D11" t="n">
        <v>1500</v>
      </c>
      <c r="E11" t="inlineStr">
        <is>
          <t>Online</t>
        </is>
      </c>
    </row>
    <row r="12">
      <c r="A12" s="2" t="n">
        <v>45668</v>
      </c>
      <c r="B12" t="inlineStr">
        <is>
          <t>Food</t>
        </is>
      </c>
      <c r="C12" t="inlineStr">
        <is>
          <t>Lunch</t>
        </is>
      </c>
      <c r="D12" t="n">
        <v>160</v>
      </c>
      <c r="E12" t="inlineStr">
        <is>
          <t>Cash</t>
        </is>
      </c>
    </row>
    <row r="13">
      <c r="A13" s="2" t="n">
        <v>45669</v>
      </c>
      <c r="B13" t="inlineStr">
        <is>
          <t>Travel</t>
        </is>
      </c>
      <c r="C13" t="inlineStr">
        <is>
          <t>Train</t>
        </is>
      </c>
      <c r="D13" t="n">
        <v>800</v>
      </c>
      <c r="E13" t="inlineStr">
        <is>
          <t>UPI</t>
        </is>
      </c>
    </row>
    <row r="14">
      <c r="A14" s="2" t="n">
        <v>45670</v>
      </c>
      <c r="B14" t="inlineStr">
        <is>
          <t>Other</t>
        </is>
      </c>
      <c r="C14" t="inlineStr">
        <is>
          <t>Books</t>
        </is>
      </c>
      <c r="D14" t="n">
        <v>450</v>
      </c>
      <c r="E14" t="inlineStr">
        <is>
          <t>Cash</t>
        </is>
      </c>
    </row>
    <row r="15">
      <c r="A15" s="2" t="n">
        <v>45671</v>
      </c>
      <c r="B15" t="inlineStr">
        <is>
          <t>Shopping</t>
        </is>
      </c>
      <c r="C15" t="inlineStr">
        <is>
          <t>Bag</t>
        </is>
      </c>
      <c r="D15" t="n">
        <v>1200</v>
      </c>
      <c r="E15" t="inlineStr">
        <is>
          <t>Card</t>
        </is>
      </c>
    </row>
    <row r="16">
      <c r="A16" s="2" t="n">
        <v>45672</v>
      </c>
      <c r="B16" t="inlineStr">
        <is>
          <t>Food</t>
        </is>
      </c>
      <c r="C16" t="inlineStr">
        <is>
          <t>Dinner</t>
        </is>
      </c>
      <c r="D16" t="n">
        <v>300</v>
      </c>
      <c r="E16" t="inlineStr">
        <is>
          <t>Cash</t>
        </is>
      </c>
    </row>
    <row r="17">
      <c r="A17" s="2" t="n">
        <v>45673</v>
      </c>
      <c r="B17" t="inlineStr">
        <is>
          <t>Travel</t>
        </is>
      </c>
      <c r="C17" t="inlineStr">
        <is>
          <t>Cab</t>
        </is>
      </c>
      <c r="D17" s="3" t="n">
        <v>2200</v>
      </c>
      <c r="E17" t="inlineStr">
        <is>
          <t>UPI</t>
        </is>
      </c>
    </row>
    <row r="18">
      <c r="A18" s="2" t="n">
        <v>45674</v>
      </c>
      <c r="B18" t="inlineStr">
        <is>
          <t>Fees</t>
        </is>
      </c>
      <c r="C18" t="inlineStr">
        <is>
          <t>Library Fees</t>
        </is>
      </c>
      <c r="D18" t="n">
        <v>600</v>
      </c>
      <c r="E18" t="inlineStr">
        <is>
          <t>Cash</t>
        </is>
      </c>
    </row>
    <row r="19">
      <c r="A19" s="2" t="n">
        <v>45675</v>
      </c>
      <c r="B19" t="inlineStr">
        <is>
          <t>Food</t>
        </is>
      </c>
      <c r="C19" t="inlineStr">
        <is>
          <t>Breakfast</t>
        </is>
      </c>
      <c r="D19" t="n">
        <v>120</v>
      </c>
      <c r="E19" t="inlineStr">
        <is>
          <t>Cash</t>
        </is>
      </c>
    </row>
    <row r="20">
      <c r="A20" s="2" t="n">
        <v>45676</v>
      </c>
      <c r="B20" t="inlineStr">
        <is>
          <t>Other</t>
        </is>
      </c>
      <c r="C20" t="inlineStr">
        <is>
          <t>Stationery</t>
        </is>
      </c>
      <c r="D20" t="n">
        <v>350</v>
      </c>
      <c r="E20" t="inlineStr">
        <is>
          <t>Cash</t>
        </is>
      </c>
    </row>
    <row r="21">
      <c r="A21" s="2" t="n">
        <v>45677</v>
      </c>
      <c r="B21" t="inlineStr">
        <is>
          <t>Shopping</t>
        </is>
      </c>
      <c r="C21" t="inlineStr">
        <is>
          <t>Watch</t>
        </is>
      </c>
      <c r="D21" s="3" t="n">
        <v>3200</v>
      </c>
      <c r="E21" t="inlineStr">
        <is>
          <t>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Budget</t>
        </is>
      </c>
      <c r="C1" s="1" t="inlineStr">
        <is>
          <t>Actual</t>
        </is>
      </c>
      <c r="D1" s="1" t="inlineStr">
        <is>
          <t>Difference</t>
        </is>
      </c>
    </row>
    <row r="2">
      <c r="A2" t="inlineStr">
        <is>
          <t>Food</t>
        </is>
      </c>
      <c r="B2" t="n">
        <v>3000</v>
      </c>
      <c r="C2">
        <f>SUMIF(Expenses!B:B,"Food",Expenses!D:D)</f>
        <v/>
      </c>
      <c r="D2">
        <f>B2-C2</f>
        <v/>
      </c>
    </row>
    <row r="3">
      <c r="A3" t="inlineStr">
        <is>
          <t>Travel</t>
        </is>
      </c>
      <c r="B3" t="n">
        <v>2000</v>
      </c>
      <c r="C3">
        <f>SUMIF(Expenses!B:B,"Travel",Expenses!D:D)</f>
        <v/>
      </c>
      <c r="D3">
        <f>B3-C3</f>
        <v/>
      </c>
    </row>
    <row r="4">
      <c r="A4" t="inlineStr">
        <is>
          <t>Fees</t>
        </is>
      </c>
      <c r="B4" t="n">
        <v>5000</v>
      </c>
      <c r="C4">
        <f>SUMIF(Expenses!B:B,"Fees",Expenses!D:D)</f>
        <v/>
      </c>
      <c r="D4">
        <f>B4-C4</f>
        <v/>
      </c>
    </row>
    <row r="5">
      <c r="A5" t="inlineStr">
        <is>
          <t>Shopping</t>
        </is>
      </c>
      <c r="B5" t="n">
        <v>4000</v>
      </c>
      <c r="C5">
        <f>SUMIF(Expenses!B:B,"Shopping",Expenses!D:D)</f>
        <v/>
      </c>
      <c r="D5">
        <f>B5-C5</f>
        <v/>
      </c>
    </row>
    <row r="6">
      <c r="A6" t="inlineStr">
        <is>
          <t>Other</t>
        </is>
      </c>
      <c r="B6" t="n">
        <v>1500</v>
      </c>
      <c r="C6">
        <f>SUMIF(Expenses!B:B,"Other",Expenses!D:D)</f>
        <v/>
      </c>
      <c r="D6">
        <f>B6-C6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2026-01-04T15:07:14Z</dcterms:created>
  <dcterms:modified xmlns:dcterms="http://purl.org/dc/terms/" xmlns:xsi="http://www.w3.org/2001/XMLSchema-instance" xsi:type="dcterms:W3CDTF">2026-01-04T15:07:14Z</dcterms:modified>
</cp:coreProperties>
</file>