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'Summary'!$A$9:$A$12</f>
            </numRef>
          </cat>
          <val>
            <numRef>
              <f>'Summary'!$B$9:$B$12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Total Sales</t>
        </is>
      </c>
      <c r="G1" t="inlineStr">
        <is>
          <t>First 3 Letters</t>
        </is>
      </c>
      <c r="H1" t="inlineStr">
        <is>
          <t>Last 2 Category</t>
        </is>
      </c>
    </row>
    <row r="2">
      <c r="A2" s="2" t="n">
        <v>45662</v>
      </c>
      <c r="B2" t="inlineStr">
        <is>
          <t>Headphones</t>
        </is>
      </c>
      <c r="C2" t="inlineStr">
        <is>
          <t>Electronics</t>
        </is>
      </c>
      <c r="D2" t="n">
        <v>5</v>
      </c>
      <c r="E2" t="n">
        <v>1500</v>
      </c>
      <c r="F2">
        <f>D2*E2</f>
        <v/>
      </c>
      <c r="G2">
        <f>LEFT(B2,3)</f>
        <v/>
      </c>
      <c r="H2">
        <f>RIGHT(C2,2)</f>
        <v/>
      </c>
    </row>
    <row r="3">
      <c r="A3" s="2" t="n">
        <v>45672</v>
      </c>
      <c r="B3" t="inlineStr">
        <is>
          <t>Mobile</t>
        </is>
      </c>
      <c r="C3" t="inlineStr">
        <is>
          <t>Electronics</t>
        </is>
      </c>
      <c r="D3" t="n">
        <v>3</v>
      </c>
      <c r="E3" t="n">
        <v>12000</v>
      </c>
      <c r="F3">
        <f>D3*E3</f>
        <v/>
      </c>
      <c r="G3">
        <f>LEFT(B3,3)</f>
        <v/>
      </c>
      <c r="H3">
        <f>RIGHT(C3,2)</f>
        <v/>
      </c>
    </row>
    <row r="4">
      <c r="A4" s="2" t="n">
        <v>45691</v>
      </c>
      <c r="B4" t="inlineStr">
        <is>
          <t>Notebook</t>
        </is>
      </c>
      <c r="C4" t="inlineStr">
        <is>
          <t>Stationery</t>
        </is>
      </c>
      <c r="D4" t="n">
        <v>20</v>
      </c>
      <c r="E4" t="n">
        <v>50</v>
      </c>
      <c r="F4">
        <f>D4*E4</f>
        <v/>
      </c>
      <c r="G4">
        <f>LEFT(B4,3)</f>
        <v/>
      </c>
      <c r="H4">
        <f>RIGHT(C4,2)</f>
        <v/>
      </c>
    </row>
    <row r="5">
      <c r="A5" s="2" t="n">
        <v>45706</v>
      </c>
      <c r="B5" t="inlineStr">
        <is>
          <t>Headphones</t>
        </is>
      </c>
      <c r="C5" t="inlineStr">
        <is>
          <t>Electronics</t>
        </is>
      </c>
      <c r="D5" t="n">
        <v>2</v>
      </c>
      <c r="E5" t="n">
        <v>1500</v>
      </c>
      <c r="F5">
        <f>D5*E5</f>
        <v/>
      </c>
      <c r="G5">
        <f>LEFT(B5,3)</f>
        <v/>
      </c>
      <c r="H5">
        <f>RIGHT(C5,2)</f>
        <v/>
      </c>
    </row>
    <row r="6">
      <c r="A6" s="2" t="n">
        <v>45723</v>
      </c>
      <c r="B6" t="inlineStr">
        <is>
          <t>Pen</t>
        </is>
      </c>
      <c r="C6" t="inlineStr">
        <is>
          <t>Stationery</t>
        </is>
      </c>
      <c r="D6" t="n">
        <v>50</v>
      </c>
      <c r="E6" t="n">
        <v>10</v>
      </c>
      <c r="F6">
        <f>D6*E6</f>
        <v/>
      </c>
      <c r="G6">
        <f>LEFT(B6,3)</f>
        <v/>
      </c>
      <c r="H6">
        <f>RIGHT(C6,2)</f>
        <v/>
      </c>
    </row>
    <row r="7">
      <c r="A7" s="2" t="n">
        <v>45736</v>
      </c>
      <c r="B7" t="inlineStr">
        <is>
          <t>Laptop</t>
        </is>
      </c>
      <c r="C7" t="inlineStr">
        <is>
          <t>Electronics</t>
        </is>
      </c>
      <c r="D7" t="n">
        <v>1</v>
      </c>
      <c r="E7" t="n">
        <v>45000</v>
      </c>
      <c r="F7">
        <f>D7*E7</f>
        <v/>
      </c>
      <c r="G7">
        <f>LEFT(B7,3)</f>
        <v/>
      </c>
      <c r="H7">
        <f>RIGHT(C7,2)</f>
        <v/>
      </c>
    </row>
    <row r="8">
      <c r="A8" s="2" t="n">
        <v>45757</v>
      </c>
      <c r="B8" t="inlineStr">
        <is>
          <t>Mouse</t>
        </is>
      </c>
      <c r="C8" t="inlineStr">
        <is>
          <t>Electronics</t>
        </is>
      </c>
      <c r="D8" t="n">
        <v>6</v>
      </c>
      <c r="E8" t="n">
        <v>600</v>
      </c>
      <c r="F8">
        <f>D8*E8</f>
        <v/>
      </c>
      <c r="G8">
        <f>LEFT(B8,3)</f>
        <v/>
      </c>
      <c r="H8">
        <f>RIGHT(C8,2)</f>
        <v/>
      </c>
    </row>
    <row r="9">
      <c r="A9" s="2" t="n">
        <v>45772</v>
      </c>
      <c r="B9" t="inlineStr">
        <is>
          <t>Notebook</t>
        </is>
      </c>
      <c r="C9" t="inlineStr">
        <is>
          <t>Stationery</t>
        </is>
      </c>
      <c r="D9" t="n">
        <v>30</v>
      </c>
      <c r="E9" t="n">
        <v>50</v>
      </c>
      <c r="F9">
        <f>D9*E9</f>
        <v/>
      </c>
      <c r="G9">
        <f>LEFT(B9,3)</f>
        <v/>
      </c>
      <c r="H9">
        <f>RIGHT(C9,2)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Headphones Sales</t>
        </is>
      </c>
      <c r="B1">
        <f>SUMIF(Store_Sales!B:B,"Headphones",Store_Sales!F:F)</f>
        <v/>
      </c>
    </row>
    <row r="2">
      <c r="A2" t="inlineStr">
        <is>
          <t>Highest Sale</t>
        </is>
      </c>
      <c r="B2">
        <f>MAX(Store_Sales!F:F)</f>
        <v/>
      </c>
    </row>
    <row r="3">
      <c r="A3" t="inlineStr">
        <is>
          <t>Lowest Sale</t>
        </is>
      </c>
      <c r="B3">
        <f>MIN(Store_Sales!F:F)</f>
        <v/>
      </c>
    </row>
    <row r="5">
      <c r="A5" t="inlineStr">
        <is>
          <t>Average Monthly Sales</t>
        </is>
      </c>
      <c r="B5">
        <f>AVERAGE(Store_Sales!F:F)</f>
        <v/>
      </c>
    </row>
    <row r="6">
      <c r="A6" t="inlineStr">
        <is>
          <t>Total Sales</t>
        </is>
      </c>
      <c r="B6">
        <f>SUM(Store_Sales!F:F)</f>
        <v/>
      </c>
    </row>
    <row r="8">
      <c r="A8" t="inlineStr">
        <is>
          <t>Month</t>
        </is>
      </c>
      <c r="B8" t="inlineStr">
        <is>
          <t>Total Sales</t>
        </is>
      </c>
    </row>
    <row r="9">
      <c r="A9" t="inlineStr">
        <is>
          <t>Jan</t>
        </is>
      </c>
      <c r="B9">
        <f>SUM(Store_Sales!F:F)</f>
        <v/>
      </c>
    </row>
    <row r="10">
      <c r="A10" t="inlineStr">
        <is>
          <t>Feb</t>
        </is>
      </c>
      <c r="B10">
        <f>SUM(Store_Sales!F:F)</f>
        <v/>
      </c>
    </row>
    <row r="11">
      <c r="A11" t="inlineStr">
        <is>
          <t>Mar</t>
        </is>
      </c>
      <c r="B11">
        <f>SUM(Store_Sales!F:F)</f>
        <v/>
      </c>
    </row>
    <row r="12">
      <c r="A12" t="inlineStr">
        <is>
          <t>Apr</t>
        </is>
      </c>
      <c r="B12">
        <f>SUM(Store_Sales!F:F)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2026-01-04T15:04:36Z</dcterms:created>
  <dcterms:modified xmlns:dcterms="http://purl.org/dc/terms/" xmlns:xsi="http://www.w3.org/2001/XMLSchema-instance" xsi:type="dcterms:W3CDTF">2026-01-04T15:04:36Z</dcterms:modified>
</cp:coreProperties>
</file>