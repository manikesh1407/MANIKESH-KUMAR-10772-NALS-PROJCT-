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  <sheet xmlns:r="http://schemas.openxmlformats.org/officeDocument/2006/relationships" name="Marks_Analysis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Subject1 Marks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'Student_Data'!G1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'Student_Data'!$A$2:$A$16</f>
            </numRef>
          </cat>
          <val>
            <numRef>
              <f>'Student_Data'!$G$2:$G$16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'Marks_Analysis'!$A$6:$A$7</f>
            </numRef>
          </cat>
          <val>
            <numRef>
              <f>'Marks_Analysis'!$B$6:$B$7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Roll No</t>
        </is>
      </c>
      <c r="E1" t="inlineStr">
        <is>
          <t>Class</t>
        </is>
      </c>
      <c r="F1" t="inlineStr">
        <is>
          <t>City</t>
        </is>
      </c>
      <c r="G1" t="inlineStr">
        <is>
          <t>Subject1</t>
        </is>
      </c>
      <c r="H1" t="inlineStr">
        <is>
          <t>Subject2</t>
        </is>
      </c>
      <c r="I1" t="inlineStr">
        <is>
          <t>Subject3</t>
        </is>
      </c>
      <c r="J1" t="inlineStr">
        <is>
          <t>Total</t>
        </is>
      </c>
      <c r="K1" t="inlineStr">
        <is>
          <t>Result</t>
        </is>
      </c>
    </row>
    <row r="2">
      <c r="A2" t="inlineStr">
        <is>
          <t>Amit Sharma</t>
        </is>
      </c>
      <c r="B2" t="inlineStr">
        <is>
          <t>Amit</t>
        </is>
      </c>
      <c r="C2" t="inlineStr">
        <is>
          <t>Sharma</t>
        </is>
      </c>
      <c r="D2" t="n">
        <v>1</v>
      </c>
      <c r="E2" t="inlineStr">
        <is>
          <t>10A</t>
        </is>
      </c>
      <c r="F2" t="inlineStr">
        <is>
          <t>Delhi</t>
        </is>
      </c>
      <c r="G2" t="n">
        <v>45</v>
      </c>
      <c r="H2" t="n">
        <v>50</v>
      </c>
      <c r="I2" t="n">
        <v>40</v>
      </c>
      <c r="J2">
        <f>SUM(G2:I2)</f>
        <v/>
      </c>
      <c r="K2">
        <f>IF(J2&gt;=120,"Pass","Fail")</f>
        <v/>
      </c>
    </row>
    <row r="3">
      <c r="A3" t="inlineStr">
        <is>
          <t>Rohit Verma</t>
        </is>
      </c>
      <c r="B3" t="inlineStr">
        <is>
          <t>Rohit</t>
        </is>
      </c>
      <c r="C3" t="inlineStr">
        <is>
          <t>Verma</t>
        </is>
      </c>
      <c r="D3" t="n">
        <v>2</v>
      </c>
      <c r="E3" t="inlineStr">
        <is>
          <t>10A</t>
        </is>
      </c>
      <c r="F3" t="inlineStr">
        <is>
          <t>Delhi</t>
        </is>
      </c>
      <c r="G3" t="n">
        <v>60</v>
      </c>
      <c r="H3" t="n">
        <v>55</v>
      </c>
      <c r="I3" t="n">
        <v>50</v>
      </c>
      <c r="J3">
        <f>SUM(G3:I3)</f>
        <v/>
      </c>
      <c r="K3">
        <f>IF(J3&gt;=120,"Pass","Fail")</f>
        <v/>
      </c>
    </row>
    <row r="4">
      <c r="A4" t="inlineStr">
        <is>
          <t>Neha Gupta</t>
        </is>
      </c>
      <c r="B4" t="inlineStr">
        <is>
          <t>Neha</t>
        </is>
      </c>
      <c r="C4" t="inlineStr">
        <is>
          <t>Gupta</t>
        </is>
      </c>
      <c r="D4" t="n">
        <v>3</v>
      </c>
      <c r="E4" t="inlineStr">
        <is>
          <t>10A</t>
        </is>
      </c>
      <c r="F4" t="inlineStr">
        <is>
          <t>Mumbai</t>
        </is>
      </c>
      <c r="G4" s="1" t="n">
        <v>35</v>
      </c>
      <c r="H4" t="n">
        <v>40</v>
      </c>
      <c r="I4" t="n">
        <v>45</v>
      </c>
      <c r="J4">
        <f>SUM(G4:I4)</f>
        <v/>
      </c>
      <c r="K4">
        <f>IF(J4&gt;=120,"Pass","Fail")</f>
        <v/>
      </c>
    </row>
    <row r="5">
      <c r="A5" t="inlineStr">
        <is>
          <t>Pooja Singh</t>
        </is>
      </c>
      <c r="B5" t="inlineStr">
        <is>
          <t>Pooja</t>
        </is>
      </c>
      <c r="C5" t="inlineStr">
        <is>
          <t>Singh</t>
        </is>
      </c>
      <c r="D5" t="n">
        <v>4</v>
      </c>
      <c r="E5" t="inlineStr">
        <is>
          <t>10A</t>
        </is>
      </c>
      <c r="F5" t="inlineStr">
        <is>
          <t>Delhi</t>
        </is>
      </c>
      <c r="G5" t="n">
        <v>70</v>
      </c>
      <c r="H5" t="n">
        <v>65</v>
      </c>
      <c r="I5" t="n">
        <v>60</v>
      </c>
      <c r="J5">
        <f>SUM(G5:I5)</f>
        <v/>
      </c>
      <c r="K5">
        <f>IF(J5&gt;=120,"Pass","Fail")</f>
        <v/>
      </c>
    </row>
    <row r="6">
      <c r="A6" t="inlineStr">
        <is>
          <t>Rahul Mehta</t>
        </is>
      </c>
      <c r="B6" t="inlineStr">
        <is>
          <t>Rahul</t>
        </is>
      </c>
      <c r="C6" t="inlineStr">
        <is>
          <t>Mehta</t>
        </is>
      </c>
      <c r="D6" t="n">
        <v>5</v>
      </c>
      <c r="E6" t="inlineStr">
        <is>
          <t>10A</t>
        </is>
      </c>
      <c r="F6" t="inlineStr">
        <is>
          <t>Pune</t>
        </is>
      </c>
      <c r="G6" t="n">
        <v>55</v>
      </c>
      <c r="H6" t="n">
        <v>45</v>
      </c>
      <c r="I6" t="n">
        <v>50</v>
      </c>
      <c r="J6">
        <f>SUM(G6:I6)</f>
        <v/>
      </c>
      <c r="K6">
        <f>IF(J6&gt;=120,"Pass","Fail")</f>
        <v/>
      </c>
    </row>
    <row r="7">
      <c r="A7" t="inlineStr">
        <is>
          <t>Karan Patel</t>
        </is>
      </c>
      <c r="B7" t="inlineStr">
        <is>
          <t>Karan</t>
        </is>
      </c>
      <c r="C7" t="inlineStr">
        <is>
          <t>Patel</t>
        </is>
      </c>
      <c r="D7" t="n">
        <v>6</v>
      </c>
      <c r="E7" t="inlineStr">
        <is>
          <t>10A</t>
        </is>
      </c>
      <c r="F7" t="inlineStr">
        <is>
          <t>Ahmedabad</t>
        </is>
      </c>
      <c r="G7" s="1" t="n">
        <v>30</v>
      </c>
      <c r="H7" s="1" t="n">
        <v>35</v>
      </c>
      <c r="I7" t="n">
        <v>40</v>
      </c>
      <c r="J7">
        <f>SUM(G7:I7)</f>
        <v/>
      </c>
      <c r="K7">
        <f>IF(J7&gt;=120,"Pass","Fail")</f>
        <v/>
      </c>
    </row>
    <row r="8">
      <c r="A8" t="inlineStr">
        <is>
          <t>Sneha Jain</t>
        </is>
      </c>
      <c r="B8" t="inlineStr">
        <is>
          <t>Sneha</t>
        </is>
      </c>
      <c r="C8" t="inlineStr">
        <is>
          <t>Jain</t>
        </is>
      </c>
      <c r="D8" t="n">
        <v>7</v>
      </c>
      <c r="E8" t="inlineStr">
        <is>
          <t>10A</t>
        </is>
      </c>
      <c r="F8" t="inlineStr">
        <is>
          <t>Delhi</t>
        </is>
      </c>
      <c r="G8" t="n">
        <v>80</v>
      </c>
      <c r="H8" t="n">
        <v>75</v>
      </c>
      <c r="I8" t="n">
        <v>70</v>
      </c>
      <c r="J8">
        <f>SUM(G8:I8)</f>
        <v/>
      </c>
      <c r="K8">
        <f>IF(J8&gt;=120,"Pass","Fail")</f>
        <v/>
      </c>
    </row>
    <row r="9">
      <c r="A9" t="inlineStr">
        <is>
          <t>Vikas Kumar</t>
        </is>
      </c>
      <c r="B9" t="inlineStr">
        <is>
          <t>Vikas</t>
        </is>
      </c>
      <c r="C9" t="inlineStr">
        <is>
          <t>Kumar</t>
        </is>
      </c>
      <c r="D9" t="n">
        <v>8</v>
      </c>
      <c r="E9" t="inlineStr">
        <is>
          <t>10A</t>
        </is>
      </c>
      <c r="F9" t="inlineStr">
        <is>
          <t>Patna</t>
        </is>
      </c>
      <c r="G9" t="n">
        <v>40</v>
      </c>
      <c r="H9" t="n">
        <v>45</v>
      </c>
      <c r="I9" s="1" t="n">
        <v>35</v>
      </c>
      <c r="J9">
        <f>SUM(G9:I9)</f>
        <v/>
      </c>
      <c r="K9">
        <f>IF(J9&gt;=120,"Pass","Fail")</f>
        <v/>
      </c>
    </row>
    <row r="10">
      <c r="A10" t="inlineStr">
        <is>
          <t>Anjali Roy</t>
        </is>
      </c>
      <c r="B10" t="inlineStr">
        <is>
          <t>Anjali</t>
        </is>
      </c>
      <c r="C10" t="inlineStr">
        <is>
          <t>Roy</t>
        </is>
      </c>
      <c r="D10" t="n">
        <v>9</v>
      </c>
      <c r="E10" t="inlineStr">
        <is>
          <t>10A</t>
        </is>
      </c>
      <c r="F10" t="inlineStr">
        <is>
          <t>Kolkata</t>
        </is>
      </c>
      <c r="G10" t="n">
        <v>65</v>
      </c>
      <c r="H10" t="n">
        <v>60</v>
      </c>
      <c r="I10" t="n">
        <v>55</v>
      </c>
      <c r="J10">
        <f>SUM(G10:I10)</f>
        <v/>
      </c>
      <c r="K10">
        <f>IF(J10&gt;=120,"Pass","Fail")</f>
        <v/>
      </c>
    </row>
    <row r="11">
      <c r="A11" t="inlineStr">
        <is>
          <t>Manish Yadav</t>
        </is>
      </c>
      <c r="B11" t="inlineStr">
        <is>
          <t>Manish</t>
        </is>
      </c>
      <c r="C11" t="inlineStr">
        <is>
          <t>Yadav</t>
        </is>
      </c>
      <c r="D11" t="n">
        <v>10</v>
      </c>
      <c r="E11" t="inlineStr">
        <is>
          <t>10A</t>
        </is>
      </c>
      <c r="F11" t="inlineStr">
        <is>
          <t>Delhi</t>
        </is>
      </c>
      <c r="G11" t="n">
        <v>50</v>
      </c>
      <c r="H11" t="n">
        <v>55</v>
      </c>
      <c r="I11" t="n">
        <v>60</v>
      </c>
      <c r="J11">
        <f>SUM(G11:I11)</f>
        <v/>
      </c>
      <c r="K11">
        <f>IF(J11&gt;=120,"Pass","Fail")</f>
        <v/>
      </c>
    </row>
    <row r="12">
      <c r="A12" t="inlineStr">
        <is>
          <t>Ritu Malhotra</t>
        </is>
      </c>
      <c r="B12" t="inlineStr">
        <is>
          <t>Ritu</t>
        </is>
      </c>
      <c r="C12" t="inlineStr">
        <is>
          <t>Malhotra</t>
        </is>
      </c>
      <c r="D12" t="n">
        <v>11</v>
      </c>
      <c r="E12" t="inlineStr">
        <is>
          <t>10A</t>
        </is>
      </c>
      <c r="F12" t="inlineStr">
        <is>
          <t>Delhi</t>
        </is>
      </c>
      <c r="G12" t="n">
        <v>42</v>
      </c>
      <c r="H12" s="1" t="n">
        <v>38</v>
      </c>
      <c r="I12" t="n">
        <v>40</v>
      </c>
      <c r="J12">
        <f>SUM(G12:I12)</f>
        <v/>
      </c>
      <c r="K12">
        <f>IF(J12&gt;=120,"Pass","Fail")</f>
        <v/>
      </c>
    </row>
    <row r="13">
      <c r="A13" t="inlineStr">
        <is>
          <t>Suresh Das</t>
        </is>
      </c>
      <c r="B13" t="inlineStr">
        <is>
          <t>Suresh</t>
        </is>
      </c>
      <c r="C13" t="inlineStr">
        <is>
          <t>Das</t>
        </is>
      </c>
      <c r="D13" t="n">
        <v>12</v>
      </c>
      <c r="E13" t="inlineStr">
        <is>
          <t>10A</t>
        </is>
      </c>
      <c r="F13" t="inlineStr">
        <is>
          <t>Assam</t>
        </is>
      </c>
      <c r="G13" s="1" t="n">
        <v>33</v>
      </c>
      <c r="H13" s="1" t="n">
        <v>36</v>
      </c>
      <c r="I13" s="1" t="n">
        <v>39</v>
      </c>
      <c r="J13">
        <f>SUM(G13:I13)</f>
        <v/>
      </c>
      <c r="K13">
        <f>IF(J13&gt;=120,"Pass","Fail")</f>
        <v/>
      </c>
    </row>
    <row r="14">
      <c r="A14" t="inlineStr">
        <is>
          <t>Kavita Joshi</t>
        </is>
      </c>
      <c r="B14" t="inlineStr">
        <is>
          <t>Kavita</t>
        </is>
      </c>
      <c r="C14" t="inlineStr">
        <is>
          <t>Joshi</t>
        </is>
      </c>
      <c r="D14" t="n">
        <v>13</v>
      </c>
      <c r="E14" t="inlineStr">
        <is>
          <t>10A</t>
        </is>
      </c>
      <c r="F14" t="inlineStr">
        <is>
          <t>Jaipur</t>
        </is>
      </c>
      <c r="G14" t="n">
        <v>58</v>
      </c>
      <c r="H14" t="n">
        <v>62</v>
      </c>
      <c r="I14" t="n">
        <v>60</v>
      </c>
      <c r="J14">
        <f>SUM(G14:I14)</f>
        <v/>
      </c>
      <c r="K14">
        <f>IF(J14&gt;=120,"Pass","Fail")</f>
        <v/>
      </c>
    </row>
    <row r="15">
      <c r="A15" t="inlineStr">
        <is>
          <t>Nitin Bansal</t>
        </is>
      </c>
      <c r="B15" t="inlineStr">
        <is>
          <t>Nitin</t>
        </is>
      </c>
      <c r="C15" t="inlineStr">
        <is>
          <t>Bansal</t>
        </is>
      </c>
      <c r="D15" t="n">
        <v>14</v>
      </c>
      <c r="E15" t="inlineStr">
        <is>
          <t>10A</t>
        </is>
      </c>
      <c r="F15" t="inlineStr">
        <is>
          <t>Delhi</t>
        </is>
      </c>
      <c r="G15" t="n">
        <v>48</v>
      </c>
      <c r="H15" t="n">
        <v>50</v>
      </c>
      <c r="I15" t="n">
        <v>52</v>
      </c>
      <c r="J15">
        <f>SUM(G15:I15)</f>
        <v/>
      </c>
      <c r="K15">
        <f>IF(J15&gt;=120,"Pass","Fail")</f>
        <v/>
      </c>
    </row>
    <row r="16">
      <c r="A16" t="inlineStr">
        <is>
          <t>Priya Mishra</t>
        </is>
      </c>
      <c r="B16" t="inlineStr">
        <is>
          <t>Priya</t>
        </is>
      </c>
      <c r="C16" t="inlineStr">
        <is>
          <t>Mishra</t>
        </is>
      </c>
      <c r="D16" t="n">
        <v>15</v>
      </c>
      <c r="E16" t="inlineStr">
        <is>
          <t>10A</t>
        </is>
      </c>
      <c r="F16" t="inlineStr">
        <is>
          <t>Lucknow</t>
        </is>
      </c>
      <c r="G16" t="n">
        <v>70</v>
      </c>
      <c r="H16" t="n">
        <v>68</v>
      </c>
      <c r="I16" t="n">
        <v>72</v>
      </c>
      <c r="J16">
        <f>SUM(G16:I16)</f>
        <v/>
      </c>
      <c r="K16">
        <f>IF(J16&gt;=120,"Pass","Fail")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Marks</t>
        </is>
      </c>
      <c r="B1">
        <f>AVERAGE(Student_Data!G2:I16)</f>
        <v/>
      </c>
    </row>
    <row r="2">
      <c r="A2" t="inlineStr">
        <is>
          <t>Maximum Marks</t>
        </is>
      </c>
      <c r="B2">
        <f>MAX(Student_Data!G2:I16)</f>
        <v/>
      </c>
    </row>
    <row r="3">
      <c r="A3" t="inlineStr">
        <is>
          <t>Minimum Marks</t>
        </is>
      </c>
      <c r="B3">
        <f>MIN(Student_Data!G2:I16)</f>
        <v/>
      </c>
    </row>
    <row r="4">
      <c r="A4" t="inlineStr">
        <is>
          <t>Delhi Students</t>
        </is>
      </c>
      <c r="B4">
        <f>COUNTIF(Student_Data!F2:F16,"Delhi")</f>
        <v/>
      </c>
    </row>
    <row r="6">
      <c r="A6" t="inlineStr">
        <is>
          <t>Pass</t>
        </is>
      </c>
      <c r="B6">
        <f>COUNTIF(Student_Data!K2:K16,"Pass")</f>
        <v/>
      </c>
    </row>
    <row r="7">
      <c r="A7" t="inlineStr">
        <is>
          <t>Fail</t>
        </is>
      </c>
      <c r="B7">
        <f>COUNTIF(Student_Data!K2:K16,"Fail")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2026-01-04T14:58:58Z</dcterms:created>
  <dcterms:modified xmlns:dcterms="http://purl.org/dc/terms/" xmlns:xsi="http://www.w3.org/2001/XMLSchema-instance" xsi:type="dcterms:W3CDTF">2026-01-04T14:58:58Z</dcterms:modified>
</cp:coreProperties>
</file>